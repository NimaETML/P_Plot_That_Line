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8ifh\Desktop\P_Plot_That_Line\"/>
    </mc:Choice>
  </mc:AlternateContent>
  <xr:revisionPtr revIDLastSave="0" documentId="13_ncr:1_{4B7E71C2-772C-4125-A280-E5C28C1AD3DE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8" l="1"/>
  <c r="D153" i="158"/>
  <c r="D134" i="158"/>
  <c r="D115" i="158"/>
  <c r="D96" i="158"/>
  <c r="D77" i="158"/>
  <c r="D58" i="158"/>
  <c r="D39" i="158"/>
  <c r="D20" i="158"/>
  <c r="D1" i="158"/>
  <c r="B189" i="158"/>
  <c r="B170" i="158"/>
  <c r="B151" i="158"/>
  <c r="B132" i="158"/>
  <c r="B113" i="158"/>
  <c r="B94" i="158"/>
  <c r="B75" i="158"/>
  <c r="B56" i="158"/>
  <c r="B37" i="158"/>
  <c r="B18" i="158"/>
  <c r="D127" i="157"/>
  <c r="D113" i="157"/>
  <c r="D99" i="157"/>
  <c r="D85" i="157"/>
  <c r="D71" i="157"/>
  <c r="D57" i="157"/>
  <c r="D43" i="157"/>
  <c r="D29" i="157"/>
  <c r="D15" i="157"/>
  <c r="B139" i="157" l="1"/>
  <c r="B125" i="157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<sst xmlns="http://schemas.openxmlformats.org/spreadsheetml/2006/main" count="288" uniqueCount="68">
  <si>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</si>
  <si>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</si>
  <si>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</si>
  <si>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</si>
  <si>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</si>
  <si>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</si>
  <si>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</si>
  <si>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</si>
  <si>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</si>
  <si>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</si>
  <si>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</si>
  <si>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</si>
  <si>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</si>
  <si>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</si>
  <si>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</si>
  <si>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</si>
  <si>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</si>
  <si>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</si>
  <si>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</si>
  <si>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</si>
  <si>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</si>
  <si>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</si>
  <si>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</si>
  <si>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</si>
  <si>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 That Line</t>
  </si>
  <si>
    <t>Nima Zarrabi</t>
  </si>
  <si>
    <t>CID3A</t>
  </si>
  <si>
    <t>Lausanne, Vennes</t>
  </si>
  <si>
    <t>Mise en place de l'espace de travail</t>
  </si>
  <si>
    <t>Journal de travail</t>
  </si>
  <si>
    <t>Code</t>
  </si>
  <si>
    <t>Tests</t>
  </si>
  <si>
    <t>Design</t>
  </si>
  <si>
    <t>Recherches</t>
  </si>
  <si>
    <t>Données</t>
  </si>
  <si>
    <t>STOP</t>
  </si>
  <si>
    <t>Explication du projet, Mise en place de github et creation des fichiers de base.</t>
  </si>
  <si>
    <t>https://apps.pm2etml.ch/jobDefinitions/102</t>
  </si>
  <si>
    <t>https://scottplot.net/</t>
  </si>
  <si>
    <t>Affichage des données à l'aide de la Library ScottPlot.</t>
  </si>
  <si>
    <t>Récupération des données et importation des données en tant que variable dans le Windows Forms.</t>
  </si>
  <si>
    <t>Design basique de l'affichage de l'application.</t>
  </si>
  <si>
    <t>https://github.com/NimaETML/P_Plot_That_Line</t>
  </si>
  <si>
    <t>Creation de tout les boutons à leurs emplacement en suivant le design de la semaine passé.</t>
  </si>
  <si>
    <t>Présentation</t>
  </si>
  <si>
    <t>Changement dans le design par rappot au retour client.</t>
  </si>
  <si>
    <t>Modification de code par rapport au demandes client.</t>
  </si>
  <si>
    <t>Mise à jour du Journal de travail et sauvegarde du travail sur GitHub.</t>
  </si>
  <si>
    <t>Présentation du projet au client pour avoir un retour.</t>
  </si>
  <si>
    <t>Documentation</t>
  </si>
  <si>
    <t>Absence - Vacances.</t>
  </si>
  <si>
    <t>Max. 12</t>
  </si>
  <si>
    <t>Implémentation de fonctionnalités pour les different boutons / filtres.</t>
  </si>
  <si>
    <t>Amélioration visuel de l'application.</t>
  </si>
  <si>
    <t>Implémentations de tests unitaires.</t>
  </si>
  <si>
    <t>Vérification du code et de ses commentaires.</t>
  </si>
  <si>
    <t>Documentation d'utilisation sur GitHub (README.md)</t>
  </si>
  <si>
    <t>Ecriture de la plannification. Cet étape à pris plus de temps que prévus car j'ai us des problèmes avec le fichier Excel.</t>
  </si>
  <si>
    <t>Ajout de fonctionnalités secondaires.</t>
  </si>
  <si>
    <t>Adaptation du visuel au code ajouté.</t>
  </si>
  <si>
    <t>Mise à jour de la documentation.</t>
  </si>
  <si>
    <t>Ajout des fonctionnalités demandé par le client (idéalement des fonctionnalités secondaires car toutes celles nécessaires serait déjà implémentée)</t>
  </si>
  <si>
    <t>Touches final sur le code et ses commentaires.</t>
  </si>
  <si>
    <t>Touches final sur le visuel.</t>
  </si>
  <si>
    <t>Touches final sur les tests unitaires.</t>
  </si>
  <si>
    <t>Finalisation de la documentation GitHub et mise en commun des fichiers dans un PDF.</t>
  </si>
  <si>
    <t>Mise à jour final du Journal de travail et sauvegarde du travail sur GitHub.</t>
  </si>
  <si>
    <t>Choix de la platform et création du fichier de base, j'ai choisi Windows Forms.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</si>
</sst>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9571F4A9-A2A1-4C1D-89E1-A2C3E7215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6DC07-CF1C-4319-974A-2C6A2AC9CF1C}">
  <sheetPr codeName="Feuil5"/>
  <dimension ref="A1:I141"/>
  <sheetViews>
    <sheetView workbookViewId="0">
      <selection activeCell="D7" sqref="A3:D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91">
        <v>45532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6" t="s">
        <v>67</v>
      </c>
      <c r="D5" s="10"/>
    </row>
    <row r="6" spans="1:4" s="53" customFormat="1" ht="27" x14ac:dyDescent="0.25">
      <c r="A6" s="1" t="s">
        <v>34</v>
      </c>
      <c r="B6" s="2">
        <v>2</v>
      </c>
      <c r="C6" s="10" t="s">
        <v>40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91">
        <f>SUM(D1+7)</f>
        <v>45539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6</v>
      </c>
      <c r="C17" s="9" t="s">
        <v>39</v>
      </c>
      <c r="D17" s="9" t="s">
        <v>38</v>
      </c>
    </row>
    <row r="18" spans="1:9" x14ac:dyDescent="0.25">
      <c r="A18" s="1" t="s">
        <v>32</v>
      </c>
      <c r="B18" s="2">
        <v>2</v>
      </c>
      <c r="C18" s="10" t="s">
        <v>41</v>
      </c>
      <c r="D18" s="10"/>
    </row>
    <row r="19" spans="1:9" ht="27" x14ac:dyDescent="0.25">
      <c r="A19" s="1" t="s">
        <v>32</v>
      </c>
      <c r="B19" s="2">
        <v>3</v>
      </c>
      <c r="C19" s="96" t="s">
        <v>43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29</v>
      </c>
      <c r="B20" s="2">
        <v>1</v>
      </c>
      <c r="C20" s="10" t="s">
        <v>47</v>
      </c>
      <c r="D20" s="10" t="s">
        <v>42</v>
      </c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53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91">
        <f>SUM(D15+7)</f>
        <v>45546</v>
      </c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6</v>
      </c>
      <c r="C31" s="9" t="s">
        <v>52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5</v>
      </c>
      <c r="C32" s="10" t="s">
        <v>53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29</v>
      </c>
      <c r="B33" s="2">
        <v>1</v>
      </c>
      <c r="C33" s="10" t="s">
        <v>47</v>
      </c>
      <c r="D33" s="10" t="s">
        <v>42</v>
      </c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91">
        <f>SUM(D29+7)</f>
        <v>45553</v>
      </c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44</v>
      </c>
      <c r="B45" s="4">
        <v>1</v>
      </c>
      <c r="C45" s="9" t="s">
        <v>48</v>
      </c>
      <c r="D45" s="9"/>
    </row>
    <row r="46" spans="1:9" x14ac:dyDescent="0.25">
      <c r="A46" s="1" t="s">
        <v>32</v>
      </c>
      <c r="B46" s="2">
        <v>3</v>
      </c>
      <c r="C46" s="10" t="s">
        <v>45</v>
      </c>
      <c r="D46" s="10"/>
    </row>
    <row r="47" spans="1:9" x14ac:dyDescent="0.25">
      <c r="A47" s="1" t="s">
        <v>30</v>
      </c>
      <c r="B47" s="2">
        <v>7</v>
      </c>
      <c r="C47" s="10" t="s">
        <v>46</v>
      </c>
      <c r="D47" s="10"/>
    </row>
    <row r="48" spans="1:9" ht="27" x14ac:dyDescent="0.25">
      <c r="A48" s="1" t="s">
        <v>29</v>
      </c>
      <c r="B48" s="2">
        <v>1</v>
      </c>
      <c r="C48" s="10" t="s">
        <v>47</v>
      </c>
      <c r="D48" s="10" t="s">
        <v>42</v>
      </c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91">
        <f>SUM(D43+7)</f>
        <v>45560</v>
      </c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31</v>
      </c>
      <c r="B59" s="4">
        <v>6</v>
      </c>
      <c r="C59" s="9" t="s">
        <v>54</v>
      </c>
      <c r="D59" s="9"/>
    </row>
    <row r="60" spans="1:4" x14ac:dyDescent="0.25">
      <c r="A60" s="1" t="s">
        <v>30</v>
      </c>
      <c r="B60" s="2">
        <v>2</v>
      </c>
      <c r="C60" s="10" t="s">
        <v>55</v>
      </c>
      <c r="D60" s="10"/>
    </row>
    <row r="61" spans="1:4" x14ac:dyDescent="0.25">
      <c r="A61" s="1" t="s">
        <v>49</v>
      </c>
      <c r="B61" s="2">
        <v>3</v>
      </c>
      <c r="C61" s="10" t="s">
        <v>56</v>
      </c>
      <c r="D61" s="10"/>
    </row>
    <row r="62" spans="1:4" ht="27" x14ac:dyDescent="0.25">
      <c r="A62" s="1" t="s">
        <v>29</v>
      </c>
      <c r="B62" s="2">
        <v>1</v>
      </c>
      <c r="C62" s="10" t="s">
        <v>47</v>
      </c>
      <c r="D62" s="10" t="s">
        <v>42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91">
        <f>SUM(D57+7)</f>
        <v>45567</v>
      </c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30</v>
      </c>
      <c r="B73" s="4">
        <v>8</v>
      </c>
      <c r="C73" s="9" t="s">
        <v>58</v>
      </c>
      <c r="D73" s="9"/>
    </row>
    <row r="74" spans="1:4" x14ac:dyDescent="0.25">
      <c r="A74" s="1" t="s">
        <v>32</v>
      </c>
      <c r="B74" s="2">
        <v>3</v>
      </c>
      <c r="C74" s="10" t="s">
        <v>59</v>
      </c>
      <c r="D74" s="10"/>
    </row>
    <row r="75" spans="1:4" ht="27" x14ac:dyDescent="0.25">
      <c r="A75" s="1" t="s">
        <v>29</v>
      </c>
      <c r="B75" s="2">
        <v>1</v>
      </c>
      <c r="C75" s="10" t="s">
        <v>47</v>
      </c>
      <c r="D75" s="10" t="s">
        <v>42</v>
      </c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91">
        <f>SUM(D71+7)</f>
        <v>45574</v>
      </c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49</v>
      </c>
      <c r="B87" s="4">
        <v>2</v>
      </c>
      <c r="C87" s="9" t="s">
        <v>60</v>
      </c>
      <c r="D87" s="9"/>
    </row>
    <row r="88" spans="1:4" x14ac:dyDescent="0.25">
      <c r="A88" s="1" t="s">
        <v>44</v>
      </c>
      <c r="B88" s="2">
        <v>1</v>
      </c>
      <c r="C88" s="10" t="s">
        <v>48</v>
      </c>
      <c r="D88" s="10"/>
    </row>
    <row r="89" spans="1:4" ht="27" x14ac:dyDescent="0.25">
      <c r="A89" s="1" t="s">
        <v>30</v>
      </c>
      <c r="B89" s="2">
        <v>7</v>
      </c>
      <c r="C89" s="10" t="s">
        <v>61</v>
      </c>
      <c r="D89" s="10"/>
    </row>
    <row r="90" spans="1:4" x14ac:dyDescent="0.25">
      <c r="A90" s="1" t="s">
        <v>32</v>
      </c>
      <c r="B90" s="2">
        <v>1</v>
      </c>
      <c r="C90" s="10" t="s">
        <v>59</v>
      </c>
      <c r="D90" s="10"/>
    </row>
    <row r="91" spans="1:4" ht="27" x14ac:dyDescent="0.25">
      <c r="A91" s="1" t="s">
        <v>29</v>
      </c>
      <c r="B91" s="2">
        <v>1</v>
      </c>
      <c r="C91" s="10" t="s">
        <v>47</v>
      </c>
      <c r="D91" s="10" t="s">
        <v>42</v>
      </c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91">
        <f>SUM(D85+7)</f>
        <v>45581</v>
      </c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" t="s">
        <v>50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91">
        <f>SUM(D99+7)</f>
        <v>45588</v>
      </c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" t="s">
        <v>50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91">
        <f>SUM(D113+7)</f>
        <v>45595</v>
      </c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30</v>
      </c>
      <c r="B129" s="4">
        <v>2</v>
      </c>
      <c r="C129" s="9" t="s">
        <v>62</v>
      </c>
      <c r="D129" s="9"/>
    </row>
    <row r="130" spans="1:4" x14ac:dyDescent="0.25">
      <c r="A130" s="1" t="s">
        <v>32</v>
      </c>
      <c r="B130" s="2">
        <v>2</v>
      </c>
      <c r="C130" s="10" t="s">
        <v>63</v>
      </c>
      <c r="D130" s="10"/>
    </row>
    <row r="131" spans="1:4" x14ac:dyDescent="0.25">
      <c r="A131" s="1" t="s">
        <v>31</v>
      </c>
      <c r="B131" s="2">
        <v>1</v>
      </c>
      <c r="C131" s="10" t="s">
        <v>64</v>
      </c>
      <c r="D131" s="10"/>
    </row>
    <row r="132" spans="1:4" x14ac:dyDescent="0.25">
      <c r="A132" s="1" t="s">
        <v>49</v>
      </c>
      <c r="B132" s="2">
        <v>6</v>
      </c>
      <c r="C132" s="10" t="s">
        <v>65</v>
      </c>
      <c r="D132" s="10"/>
    </row>
    <row r="133" spans="1:4" ht="27" x14ac:dyDescent="0.25">
      <c r="A133" s="1" t="s">
        <v>29</v>
      </c>
      <c r="B133" s="2">
        <v>1</v>
      </c>
      <c r="C133" s="10" t="s">
        <v>66</v>
      </c>
      <c r="D133" s="10" t="s">
        <v>42</v>
      </c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51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DC298BF9-7902-474E-A09A-5362B983140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D29E792F-5406-4891-8DE2-B59A8D51CD2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09C7D1D9-0FDE-418B-9C28-D55882C1163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6AE9FC3-114D-457F-905F-4A9B0C49C6D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9848-10F3-468E-A948-8528A43E347D}">
  <sheetPr codeName="Feuil9"/>
  <dimension ref="A1:I191"/>
  <sheetViews>
    <sheetView tabSelected="1" workbookViewId="0">
      <selection activeCell="C9" sqref="C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6" t="s">
        <v>67</v>
      </c>
      <c r="D5" s="10"/>
    </row>
    <row r="6" spans="1:4" s="53" customFormat="1" ht="27" x14ac:dyDescent="0.25">
      <c r="A6" s="1" t="s">
        <v>34</v>
      </c>
      <c r="B6" s="2">
        <v>2</v>
      </c>
      <c r="C6" s="10" t="s">
        <v>40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51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51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2A13718-E02F-44F2-BE37-5A4561159A5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41:B55 B60:B74 B79:B93 B98:B112 B117:B131 B136:B150 B155:B169 B3:B17" xr:uid="{2A97E640-C656-4A83-9C24-DA55B648D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803BC0AB-AD1B-4F38-8E94-2DA0D503021B}">
      <formula1>0</formula1>
      <formula2>NbPerWeek * NbQuartPer</formula2>
    </dataValidation>
    <dataValidation type="list" allowBlank="1" showInputMessage="1" showErrorMessage="1" sqref="A174:A188 A22:A36 A41:A55 A60:A74 A79:A93 A98:A112 A117:A131 A136:A150 A155:A169 A3:A17" xr:uid="{E082B59B-EE46-417F-8E0E-75358B9DE13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Nima Amir Aram Zarrabi</dc:creator>
  <cp:lastModifiedBy>Nima Amir Aram Zarrabi</cp:lastModifiedBy>
  <cp:lastPrinted>2013-08-29T11:33:15Z</cp:lastPrinted>
  <dcterms:created xsi:type="dcterms:W3CDTF">1996-10-21T11:03:58Z</dcterms:created>
  <dcterms:modified xsi:type="dcterms:W3CDTF">2024-08-28T14:00:00Z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