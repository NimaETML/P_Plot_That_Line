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updateLinks="never" codeName="ThisWorkbook"/>
  <mc:AlternateContent xmlns:mc="http://schemas.openxmlformats.org/markup-compatibility/2006">
    <mc:Choice Requires="x15">
      <x15ac:absPath xmlns:x15ac="http://schemas.microsoft.com/office/spreadsheetml/2010/11/ac" url="C:\Users\nimal\Desktop\Code\P_Plot_That_Line\"/>
    </mc:Choice>
  </mc:AlternateContent>
  <xr:revisionPtr revIDLastSave="0" documentId="13_ncr:1_{17EB5D34-F6F8-45AD-805D-B0FB3634CDFC}" xr6:coauthVersionLast="47" xr6:coauthVersionMax="47" xr10:uidLastSave="{00000000-0000-0000-0000-000000000000}"/>
  <bookViews>
    <workbookView xWindow="2535" yWindow="840" windowWidth="21600" windowHeight="11295"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Planning" sheetId="157" r:id="rId6"/>
    <sheet name="JNLTRAV" sheetId="158"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4">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2" i="158" l="1"/>
  <c r="D153" i="158"/>
  <c r="D134" i="158"/>
  <c r="D115" i="158"/>
  <c r="D96" i="158"/>
  <c r="D77" i="158"/>
  <c r="D58" i="158"/>
  <c r="D39" i="158"/>
  <c r="D20" i="158"/>
  <c r="D1" i="158"/>
  <c r="B189" i="158"/>
  <c r="B170" i="158"/>
  <c r="B151" i="158"/>
  <c r="B132" i="158"/>
  <c r="B113" i="158"/>
  <c r="B94" i="158"/>
  <c r="B75" i="158"/>
  <c r="B56" i="158"/>
  <c r="B37" i="158"/>
  <c r="B18" i="158"/>
  <c r="D127" i="157"/>
  <c r="D113" i="157"/>
  <c r="D99" i="157"/>
  <c r="D85" i="157"/>
  <c r="D71" i="157"/>
  <c r="D57" i="157"/>
  <c r="D43" i="157"/>
  <c r="D29" i="157"/>
  <c r="D15" i="157"/>
  <c r="B139" i="157" l="1"/>
  <c r="B125" i="157"/>
  <c r="B111" i="157"/>
  <c r="B97" i="157"/>
  <c r="B83" i="157"/>
  <c r="B69" i="157"/>
  <c r="B55" i="157"/>
  <c r="B41" i="157"/>
  <c r="B27" i="157"/>
  <c r="B13" i="157"/>
  <c r="B18" i="154"/>
  <c r="B13" i="11" l="1"/>
</calcChain>
</file>

<file path=xl/sharedStrings.xml><?xml version="1.0" encoding="utf-8"?>
<sst xmlns="http://schemas.openxmlformats.org/spreadsheetml/2006/main" count="358" uniqueCount="94">
  <si>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</si>
  <si>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</si>
  <si>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</si>
  <si>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</si>
  <si>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</si>
  <si>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</si>
  <si>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</si>
  <si>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</si>
  <si>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</si>
  <si>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</si>
  <si>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</si>
  <si>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</si>
  <si>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</si>
  <si>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</si>
  <si>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</si>
  <si>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</si>
  <si>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</si>
  <si>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</si>
  <si>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</si>
  <si>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</si>
  <si>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</si>
  <si>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</si>
  <si>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</si>
  <si>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</si>
  <si>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Plot That Line</t>
  </si>
  <si>
    <t>Nima Zarrabi</t>
  </si>
  <si>
    <t>CID3A</t>
  </si>
  <si>
    <t>Lausanne, Vennes</t>
  </si>
  <si>
    <t>Mise en place de l'espace de travail</t>
  </si>
  <si>
    <t>Journal de travail</t>
  </si>
  <si>
    <t>Code</t>
  </si>
  <si>
    <t>Tests</t>
  </si>
  <si>
    <t>Design</t>
  </si>
  <si>
    <t>Recherches</t>
  </si>
  <si>
    <t>Données</t>
  </si>
  <si>
    <t>STOP</t>
  </si>
  <si>
    <t>Explication du projet, Mise en place de github et creation des fichiers de base.</t>
  </si>
  <si>
    <t>https://apps.pm2etml.ch/jobDefinitions/102</t>
  </si>
  <si>
    <t>https://scottplot.net/</t>
  </si>
  <si>
    <t>Affichage des données à l'aide de la Library ScottPlot.</t>
  </si>
  <si>
    <t>Récupération des données et importation des données en tant que variable dans le Windows Forms.</t>
  </si>
  <si>
    <t>Design basique de l'affichage de l'application.</t>
  </si>
  <si>
    <t>https://github.com/NimaETML/P_Plot_That_Line</t>
  </si>
  <si>
    <t>Creation de tout les boutons à leurs emplacement en suivant le design de la semaine passé.</t>
  </si>
  <si>
    <t>Présentation</t>
  </si>
  <si>
    <t>Changement dans le design par rappot au retour client.</t>
  </si>
  <si>
    <t>Modification de code par rapport au demandes client.</t>
  </si>
  <si>
    <t>Mise à jour du Journal de travail et sauvegarde du travail sur GitHub.</t>
  </si>
  <si>
    <t>Présentation du projet au client pour avoir un retour.</t>
  </si>
  <si>
    <t>Documentation</t>
  </si>
  <si>
    <t>Absence - Vacances.</t>
  </si>
  <si>
    <t>Max. 12</t>
  </si>
  <si>
    <t>Implémentation de fonctionnalités pour les different boutons / filtres.</t>
  </si>
  <si>
    <t>Amélioration visuel de l'application.</t>
  </si>
  <si>
    <t>Implémentations de tests unitaires.</t>
  </si>
  <si>
    <t>Vérification du code et de ses commentaires.</t>
  </si>
  <si>
    <t>Documentation d'utilisation sur GitHub (README.md)</t>
  </si>
  <si>
    <t>Ecriture de la plannification. Cet étape à pris plus de temps que prévus car j'ai us des problèmes avec le fichier Excel.</t>
  </si>
  <si>
    <t>Ajout de fonctionnalités secondaires.</t>
  </si>
  <si>
    <t>Adaptation du visuel au code ajouté.</t>
  </si>
  <si>
    <t>Mise à jour de la documentation.</t>
  </si>
  <si>
    <t>Ajout des fonctionnalités demandé par le client (idéalement des fonctionnalités secondaires car toutes celles nécessaires serait déjà implémentée)</t>
  </si>
  <si>
    <t>Touches final sur le code et ses commentaires.</t>
  </si>
  <si>
    <t>Touches final sur le visuel.</t>
  </si>
  <si>
    <t>Touches final sur les tests unitaires.</t>
  </si>
  <si>
    <t>Finalisation de la documentation GitHub et mise en commun des fichiers dans un PDF.</t>
  </si>
  <si>
    <t>Mise à jour final du Journal de travail et sauvegarde du travail sur GitHub.</t>
  </si>
  <si>
    <t>Choix de la platform et création du fichier de base, j'ai choisi Windows Forms.</t>
  </si>
  <si>
    <t>Création d'un diagram avec le package dans le Windows Forms.</t>
  </si>
  <si>
    <t>Absence - Maladie</t>
  </si>
  <si>
    <t>Implementation de la fonction de lecture de CSV dans le code, les données du CSV sont ensuite transmises dans des variables.</t>
  </si>
  <si>
    <t>Affichage des dates sous formes de datetime et non en chiffre.</t>
  </si>
  <si>
    <t>Améliorations général (quelque commentaires, ajout d'un label, changement du type de plotline en ScatterLine afin de rendre le graphique plus lisible.</t>
  </si>
  <si>
    <t>Tentative d'adapter le code pour plusieurs plotlines, pas encore fonctionnel.</t>
  </si>
  <si>
    <t>Création de la classe "Crypto" afin de régler les problèmes qui se créent avec 2+ plotlines. Le code est à présent adapté a plusieurs plotlines.</t>
  </si>
  <si>
    <t>Optimisation de certaines parties du code.</t>
  </si>
  <si>
    <t>Ajout d'un "check" qui affiche une erreur si deux plotlines utilisent des types de monnaies differentes.</t>
  </si>
  <si>
    <t>Ajout d'un "check" qui affiche une erreur si l'utilisateur ouvre un répétoire qui ne contient pas de fichier de type csv.</t>
  </si>
  <si>
    <t>Ajout d'une liste de checkbox qui permet à un utilisateur de séléctionner quelle plotline il veut affichier, la liste n'est pour l'instant pas liée aux plotlines.</t>
  </si>
  <si>
    <t>Vacances d'octobre</t>
  </si>
  <si>
    <t>Liéson entre la Checkboxlist et la liste de plottable afin qu'un plotable soit ajouté ou elever en cochant ou décochant son point dédié dans la Checkboxlist, la supprésion du plottable n'est pas encore possible sans regénérer tout le plot.</t>
  </si>
  <si>
    <t>Travail sur un système de supprésion de plottable sans regénérer le plot entier, pas encore fonctionnel.</t>
  </si>
  <si>
    <t>Mise en page et structure du Rapport, Sections toutes remplies sauf tests et Conclusion car je doit d'abord finir le projet.</t>
  </si>
  <si>
    <t>Système de supprésion de plottable sans regénérer le plot entier fonctionnel mais le code n'est pas propre et commenté</t>
  </si>
  <si>
    <t>Ajout de commentaires au code</t>
  </si>
  <si>
    <t>Changement de la structure du programme principal en de nombreuses méthodes qui se lance l'une après l'autre au lieu du en entier dans la classe Form_PTL.</t>
  </si>
  <si>
    <t>Optimisation du code, remplacement de toutes les boucles for ou foreach par un lambda.</t>
  </si>
  <si>
    <t>Changement du designe de la CheckBoxList, Changement du titre de l'application et ajout d'un icon.</t>
  </si>
  <si>
    <t>Réglage d'un bug qui affichais la Légende des scatterline trois fois.</t>
  </si>
  <si>
    <t>Création d'une liste de tests UI et application satisfesante de la liste.</t>
  </si>
  <si>
    <t>Publish de l'application.</t>
  </si>
  <si>
    <t>Ecriture d'un README.md.</t>
  </si>
  <si>
    <t>Finition du Rapport, parties Test et Conclusion, de plus un petit ajout à la partie Introduction.</t>
  </si>
  <si>
    <t>Mise à jour final du Journal de travail et sauvegarde du travail sur GitHub + release GitHub.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</si>
</sst>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14" fontId="7" fillId="2" borderId="13" xfId="0" applyNumberFormat="1" applyFont="1" applyFill="1" applyBorder="1" applyAlignment="1" applyProtection="1">
      <alignment horizontal="left" vertical="center"/>
      <protection locked="0"/>
    </xf>
    <xf numFmtId="0" fontId="0" fillId="0" borderId="2"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2" xfId="0" applyFont="1" applyBorder="1" applyAlignment="1" applyProtection="1">
      <alignment horizontal="left" vertical="top" wrapText="1"/>
      <protection locked="0"/>
    </xf>
  </cellXfs>
  <cellStyles count="4">
    <cellStyle name="Hyperlink"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Planification"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Realisation" hidden="1">
              <a:extLst>
                <a:ext uri="{63B3BB69-23CF-44E3-9099-C40C66FF867C}">
                  <a14:compatExt spid="_x0000_s47105"/>
                </a:ext>
                <a:ext uri="{FF2B5EF4-FFF2-40B4-BE49-F238E27FC236}">
                  <a16:creationId xmlns:a16="http://schemas.microsoft.com/office/drawing/2014/main" id="{00000000-0008-0000-06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zoomScaleNormal="100" zoomScaleSheetLayoutView="100" workbookViewId="0">
      <selection activeCell="C14" sqref="C14"/>
    </sheetView>
  </sheetViews>
  <sheetFormatPr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24</v>
      </c>
      <c r="D3" s="59"/>
      <c r="E3" s="59"/>
      <c r="F3" s="59"/>
      <c r="G3" s="60"/>
    </row>
    <row r="4" spans="1:7" ht="20.25" x14ac:dyDescent="0.25">
      <c r="A4" s="58"/>
      <c r="B4" s="63" t="s">
        <v>4</v>
      </c>
      <c r="C4" s="64" t="s">
        <v>25</v>
      </c>
      <c r="D4" s="59"/>
      <c r="E4" s="59"/>
      <c r="F4" s="59"/>
      <c r="G4" s="60"/>
    </row>
    <row r="5" spans="1:7" ht="20.25" x14ac:dyDescent="0.25">
      <c r="A5" s="58"/>
      <c r="B5" s="63" t="s">
        <v>1</v>
      </c>
      <c r="C5" s="64" t="s">
        <v>26</v>
      </c>
      <c r="D5" s="59"/>
      <c r="E5" s="59"/>
      <c r="F5" s="59"/>
      <c r="G5" s="60"/>
    </row>
    <row r="6" spans="1:7" ht="21" thickBot="1" x14ac:dyDescent="0.3">
      <c r="A6" s="58"/>
      <c r="B6" s="65" t="s">
        <v>2</v>
      </c>
      <c r="C6" s="66" t="s">
        <v>27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9</v>
      </c>
      <c r="C9" s="67">
        <v>45532</v>
      </c>
      <c r="D9" s="59"/>
      <c r="E9" s="59"/>
      <c r="F9" s="59"/>
      <c r="G9" s="60"/>
    </row>
    <row r="10" spans="1:7" ht="20.25" x14ac:dyDescent="0.25">
      <c r="A10" s="58"/>
      <c r="B10" s="68" t="s">
        <v>8</v>
      </c>
      <c r="C10" s="69">
        <v>45597</v>
      </c>
      <c r="D10" s="59"/>
      <c r="E10" s="59"/>
      <c r="F10" s="59"/>
      <c r="G10" s="60"/>
    </row>
    <row r="11" spans="1:7" ht="20.25" x14ac:dyDescent="0.25">
      <c r="A11" s="58"/>
      <c r="B11" s="68" t="s">
        <v>10</v>
      </c>
      <c r="C11" s="70">
        <v>10</v>
      </c>
      <c r="D11" s="59"/>
      <c r="E11" s="59"/>
      <c r="F11" s="59"/>
      <c r="G11" s="60"/>
    </row>
    <row r="12" spans="1:7" ht="20.25" x14ac:dyDescent="0.25">
      <c r="A12" s="58"/>
      <c r="B12" s="63" t="s">
        <v>11</v>
      </c>
      <c r="C12" s="71">
        <v>4</v>
      </c>
      <c r="D12" s="59"/>
      <c r="E12" s="59"/>
      <c r="F12" s="59"/>
      <c r="G12" s="60"/>
    </row>
    <row r="13" spans="1:7" ht="20.25" x14ac:dyDescent="0.25">
      <c r="A13" s="58"/>
      <c r="B13" s="63" t="s">
        <v>12</v>
      </c>
      <c r="C13" s="71">
        <v>3</v>
      </c>
      <c r="D13" s="59"/>
      <c r="E13" s="59"/>
      <c r="F13" s="59"/>
      <c r="G13" s="60"/>
    </row>
    <row r="14" spans="1:7" ht="20.25" thickBot="1" x14ac:dyDescent="0.3">
      <c r="A14" s="58"/>
      <c r="B14" s="72"/>
      <c r="C14" s="73" t="s">
        <v>6</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4" t="s">
        <v>19</v>
      </c>
      <c r="C19" s="95"/>
      <c r="D19" s="59"/>
      <c r="E19" s="59"/>
      <c r="F19" s="59"/>
      <c r="G19" s="60"/>
    </row>
    <row r="20" spans="1:7" ht="20.25" x14ac:dyDescent="0.25">
      <c r="A20" s="78"/>
      <c r="B20" s="79" t="s">
        <v>20</v>
      </c>
      <c r="C20" s="80" t="s">
        <v>21</v>
      </c>
      <c r="D20" s="59"/>
      <c r="E20" s="59"/>
      <c r="F20" s="59"/>
      <c r="G20" s="60"/>
    </row>
    <row r="21" spans="1:7" ht="20.25" x14ac:dyDescent="0.25">
      <c r="A21" s="78"/>
      <c r="B21" s="79">
        <v>1</v>
      </c>
      <c r="C21" s="69" t="s">
        <v>28</v>
      </c>
      <c r="D21" s="59"/>
      <c r="E21" s="59"/>
      <c r="F21" s="59"/>
      <c r="G21" s="60"/>
    </row>
    <row r="22" spans="1:7" ht="20.25" x14ac:dyDescent="0.25">
      <c r="A22" s="78"/>
      <c r="B22" s="79">
        <v>2</v>
      </c>
      <c r="C22" s="70" t="s">
        <v>29</v>
      </c>
      <c r="D22" s="59"/>
      <c r="E22" s="59"/>
      <c r="F22" s="59"/>
      <c r="G22" s="60"/>
    </row>
    <row r="23" spans="1:7" ht="20.25" x14ac:dyDescent="0.25">
      <c r="A23" s="78"/>
      <c r="B23" s="81">
        <v>3</v>
      </c>
      <c r="C23" s="70" t="s">
        <v>49</v>
      </c>
      <c r="D23" s="59"/>
      <c r="E23" s="59"/>
      <c r="F23" s="59"/>
      <c r="G23" s="60"/>
    </row>
    <row r="24" spans="1:7" ht="20.25" x14ac:dyDescent="0.25">
      <c r="A24" s="78"/>
      <c r="B24" s="79">
        <v>4</v>
      </c>
      <c r="C24" s="70" t="s">
        <v>34</v>
      </c>
      <c r="D24" s="59"/>
      <c r="E24" s="59"/>
      <c r="F24" s="59"/>
      <c r="G24" s="60"/>
    </row>
    <row r="25" spans="1:7" ht="20.25" x14ac:dyDescent="0.25">
      <c r="A25" s="78"/>
      <c r="B25" s="79">
        <v>5</v>
      </c>
      <c r="C25" s="70" t="s">
        <v>33</v>
      </c>
      <c r="D25" s="59"/>
      <c r="E25" s="59"/>
      <c r="F25" s="59"/>
      <c r="G25" s="60"/>
    </row>
    <row r="26" spans="1:7" ht="20.25" x14ac:dyDescent="0.25">
      <c r="A26" s="78"/>
      <c r="B26" s="81">
        <v>6</v>
      </c>
      <c r="C26" s="70" t="s">
        <v>32</v>
      </c>
      <c r="D26" s="59"/>
      <c r="E26" s="59"/>
      <c r="F26" s="59"/>
      <c r="G26" s="60"/>
    </row>
    <row r="27" spans="1:7" ht="20.25" x14ac:dyDescent="0.25">
      <c r="A27" s="78"/>
      <c r="B27" s="79">
        <v>7</v>
      </c>
      <c r="C27" s="70" t="s">
        <v>30</v>
      </c>
      <c r="D27" s="59"/>
      <c r="E27" s="59"/>
      <c r="F27" s="59"/>
      <c r="G27" s="60"/>
    </row>
    <row r="28" spans="1:7" ht="20.25" x14ac:dyDescent="0.25">
      <c r="A28" s="78"/>
      <c r="B28" s="79">
        <v>8</v>
      </c>
      <c r="C28" s="70" t="s">
        <v>31</v>
      </c>
      <c r="D28" s="59"/>
      <c r="E28" s="59"/>
      <c r="F28" s="59"/>
      <c r="G28" s="60"/>
    </row>
    <row r="29" spans="1:7" ht="20.25" x14ac:dyDescent="0.25">
      <c r="A29" s="78"/>
      <c r="B29" s="81">
        <v>9</v>
      </c>
      <c r="C29" s="71" t="s">
        <v>44</v>
      </c>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3"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defaultColWidth="11.42578125"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5"/>
    </row>
    <row r="2" spans="1:4" ht="27.7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row>
    <row r="2" spans="1:4" ht="27.7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6DC07-CF1C-4319-974A-2C6A2AC9CF1C}">
  <sheetPr codeName="Feuil5"/>
  <dimension ref="A1:H141"/>
  <sheetViews>
    <sheetView topLeftCell="A104" workbookViewId="0">
      <selection activeCell="D7" sqref="A3:D7"/>
    </sheetView>
  </sheetViews>
  <sheetFormatPr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9">
        <v>45532</v>
      </c>
    </row>
    <row r="2" spans="1:4" ht="27.75" thickBot="1" x14ac:dyDescent="0.3">
      <c r="A2" s="8" t="s">
        <v>3</v>
      </c>
      <c r="B2" s="18" t="s">
        <v>15</v>
      </c>
      <c r="C2" s="8" t="s">
        <v>7</v>
      </c>
      <c r="D2" s="8" t="s">
        <v>13</v>
      </c>
    </row>
    <row r="3" spans="1:4" s="52" customFormat="1" ht="27" x14ac:dyDescent="0.25">
      <c r="A3" s="5" t="s">
        <v>28</v>
      </c>
      <c r="B3" s="4">
        <v>3</v>
      </c>
      <c r="C3" s="9" t="s">
        <v>36</v>
      </c>
      <c r="D3" s="9" t="s">
        <v>37</v>
      </c>
    </row>
    <row r="4" spans="1:4" s="52" customFormat="1" ht="27" x14ac:dyDescent="0.25">
      <c r="A4" s="1" t="s">
        <v>28</v>
      </c>
      <c r="B4" s="2">
        <v>5</v>
      </c>
      <c r="C4" s="10" t="s">
        <v>57</v>
      </c>
      <c r="D4" s="10"/>
    </row>
    <row r="5" spans="1:4" s="52" customFormat="1" ht="27" x14ac:dyDescent="0.25">
      <c r="A5" s="1" t="s">
        <v>28</v>
      </c>
      <c r="B5" s="2">
        <v>1</v>
      </c>
      <c r="C5" s="90" t="s">
        <v>67</v>
      </c>
      <c r="D5" s="10"/>
    </row>
    <row r="6" spans="1:4" s="52" customFormat="1" ht="27" x14ac:dyDescent="0.25">
      <c r="A6" s="1" t="s">
        <v>34</v>
      </c>
      <c r="B6" s="2">
        <v>2</v>
      </c>
      <c r="C6" s="10" t="s">
        <v>40</v>
      </c>
      <c r="D6" s="10"/>
    </row>
    <row r="7" spans="1:4" s="52" customFormat="1" ht="27" x14ac:dyDescent="0.25">
      <c r="A7" s="1" t="s">
        <v>29</v>
      </c>
      <c r="B7" s="2">
        <v>1</v>
      </c>
      <c r="C7" s="10" t="s">
        <v>47</v>
      </c>
      <c r="D7" s="10" t="s">
        <v>42</v>
      </c>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12</v>
      </c>
      <c r="C13" s="86" t="s">
        <v>51</v>
      </c>
      <c r="D13" s="13"/>
    </row>
    <row r="14" spans="1:4" ht="15" thickBot="1" x14ac:dyDescent="0.35">
      <c r="A14" s="14"/>
      <c r="B14" s="14"/>
      <c r="C14" s="14"/>
      <c r="D14" s="14"/>
    </row>
    <row r="15" spans="1:4" ht="18.75" thickBot="1" x14ac:dyDescent="0.3">
      <c r="A15" s="6" t="s">
        <v>14</v>
      </c>
      <c r="B15" s="7">
        <v>2</v>
      </c>
      <c r="C15" s="17"/>
      <c r="D15" s="89">
        <f>SUM(D1+7)</f>
        <v>45539</v>
      </c>
    </row>
    <row r="16" spans="1:4" ht="27.75" thickBot="1" x14ac:dyDescent="0.3">
      <c r="A16" s="8" t="s">
        <v>3</v>
      </c>
      <c r="B16" s="18" t="s">
        <v>15</v>
      </c>
      <c r="C16" s="8" t="s">
        <v>7</v>
      </c>
      <c r="D16" s="8" t="s">
        <v>13</v>
      </c>
    </row>
    <row r="17" spans="1:8" x14ac:dyDescent="0.25">
      <c r="A17" s="5" t="s">
        <v>30</v>
      </c>
      <c r="B17" s="4">
        <v>6</v>
      </c>
      <c r="C17" s="9" t="s">
        <v>39</v>
      </c>
      <c r="D17" s="9" t="s">
        <v>38</v>
      </c>
    </row>
    <row r="18" spans="1:8" x14ac:dyDescent="0.25">
      <c r="A18" s="1" t="s">
        <v>32</v>
      </c>
      <c r="B18" s="2">
        <v>2</v>
      </c>
      <c r="C18" s="10" t="s">
        <v>41</v>
      </c>
      <c r="D18" s="10"/>
    </row>
    <row r="19" spans="1:8" ht="27" x14ac:dyDescent="0.25">
      <c r="A19" s="1" t="s">
        <v>32</v>
      </c>
      <c r="B19" s="2">
        <v>3</v>
      </c>
      <c r="C19" s="90" t="s">
        <v>43</v>
      </c>
      <c r="D19" s="10"/>
    </row>
    <row r="20" spans="1:8" ht="12.75" customHeight="1" x14ac:dyDescent="0.25">
      <c r="A20" s="1" t="s">
        <v>29</v>
      </c>
      <c r="B20" s="2">
        <v>1</v>
      </c>
      <c r="C20" s="10" t="s">
        <v>47</v>
      </c>
      <c r="D20" s="10" t="s">
        <v>42</v>
      </c>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52"/>
      <c r="F25" s="36"/>
      <c r="G25" s="37"/>
      <c r="H25" s="37"/>
    </row>
    <row r="26" spans="1:8" ht="14.25" thickBot="1" x14ac:dyDescent="0.3">
      <c r="A26" s="3"/>
      <c r="B26" s="3"/>
      <c r="C26" s="11"/>
      <c r="D26" s="11"/>
      <c r="F26" s="36"/>
      <c r="G26" s="37"/>
      <c r="H26" s="37"/>
    </row>
    <row r="27" spans="1:8" ht="14.25" thickBot="1" x14ac:dyDescent="0.3">
      <c r="A27" s="12" t="s">
        <v>22</v>
      </c>
      <c r="B27" s="12">
        <f>SUM(B17:B26)</f>
        <v>12</v>
      </c>
      <c r="C27" s="86" t="s">
        <v>51</v>
      </c>
      <c r="D27" s="13"/>
      <c r="F27" s="36"/>
      <c r="G27" s="37"/>
      <c r="H27" s="37"/>
    </row>
    <row r="28" spans="1:8" ht="15" thickBot="1" x14ac:dyDescent="0.35">
      <c r="A28" s="14"/>
      <c r="B28" s="14"/>
      <c r="C28" s="14"/>
      <c r="D28" s="14"/>
      <c r="F28" s="36"/>
      <c r="G28" s="37"/>
      <c r="H28" s="37"/>
    </row>
    <row r="29" spans="1:8" ht="18.75" thickBot="1" x14ac:dyDescent="0.3">
      <c r="A29" s="6" t="s">
        <v>14</v>
      </c>
      <c r="B29" s="7">
        <v>3</v>
      </c>
      <c r="C29" s="17"/>
      <c r="D29" s="89">
        <f>SUM(D15+7)</f>
        <v>45546</v>
      </c>
      <c r="F29" s="36"/>
      <c r="G29" s="37"/>
      <c r="H29" s="37"/>
    </row>
    <row r="30" spans="1:8" ht="27.75" thickBot="1" x14ac:dyDescent="0.3">
      <c r="A30" s="8" t="s">
        <v>3</v>
      </c>
      <c r="B30" s="18" t="s">
        <v>15</v>
      </c>
      <c r="C30" s="8" t="s">
        <v>7</v>
      </c>
      <c r="D30" s="8" t="s">
        <v>13</v>
      </c>
      <c r="F30" s="38"/>
      <c r="G30" s="39"/>
      <c r="H30" s="39"/>
    </row>
    <row r="31" spans="1:8" ht="14.25" x14ac:dyDescent="0.3">
      <c r="A31" s="5" t="s">
        <v>30</v>
      </c>
      <c r="B31" s="4">
        <v>6</v>
      </c>
      <c r="C31" s="9" t="s">
        <v>52</v>
      </c>
      <c r="D31" s="9"/>
      <c r="F31" s="40"/>
      <c r="G31" s="40"/>
      <c r="H31" s="40"/>
    </row>
    <row r="32" spans="1:8" x14ac:dyDescent="0.25">
      <c r="A32" s="1" t="s">
        <v>32</v>
      </c>
      <c r="B32" s="2">
        <v>5</v>
      </c>
      <c r="C32" s="10" t="s">
        <v>53</v>
      </c>
      <c r="D32" s="10"/>
    </row>
    <row r="33" spans="1:4" ht="27" x14ac:dyDescent="0.25">
      <c r="A33" s="1" t="s">
        <v>29</v>
      </c>
      <c r="B33" s="2">
        <v>1</v>
      </c>
      <c r="C33" s="10" t="s">
        <v>47</v>
      </c>
      <c r="D33" s="10" t="s">
        <v>42</v>
      </c>
    </row>
    <row r="34" spans="1:4" x14ac:dyDescent="0.25">
      <c r="A34" s="1"/>
      <c r="B34" s="2"/>
      <c r="C34" s="10"/>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22</v>
      </c>
      <c r="B41" s="12">
        <f>SUM(B31:B40)</f>
        <v>12</v>
      </c>
      <c r="C41" s="86" t="s">
        <v>51</v>
      </c>
      <c r="D41" s="13"/>
    </row>
    <row r="42" spans="1:4" ht="15" thickBot="1" x14ac:dyDescent="0.35">
      <c r="A42" s="14"/>
      <c r="B42" s="14"/>
      <c r="C42" s="14"/>
      <c r="D42" s="14"/>
    </row>
    <row r="43" spans="1:4" ht="18.75" thickBot="1" x14ac:dyDescent="0.3">
      <c r="A43" s="6" t="s">
        <v>14</v>
      </c>
      <c r="B43" s="7">
        <v>4</v>
      </c>
      <c r="C43" s="17"/>
      <c r="D43" s="89">
        <f>SUM(D29+7)</f>
        <v>45553</v>
      </c>
    </row>
    <row r="44" spans="1:4" ht="27.75" thickBot="1" x14ac:dyDescent="0.3">
      <c r="A44" s="8" t="s">
        <v>3</v>
      </c>
      <c r="B44" s="18" t="s">
        <v>15</v>
      </c>
      <c r="C44" s="8" t="s">
        <v>7</v>
      </c>
      <c r="D44" s="8" t="s">
        <v>13</v>
      </c>
    </row>
    <row r="45" spans="1:4" x14ac:dyDescent="0.25">
      <c r="A45" s="5" t="s">
        <v>44</v>
      </c>
      <c r="B45" s="4">
        <v>1</v>
      </c>
      <c r="C45" s="9" t="s">
        <v>48</v>
      </c>
      <c r="D45" s="9"/>
    </row>
    <row r="46" spans="1:4" x14ac:dyDescent="0.25">
      <c r="A46" s="1" t="s">
        <v>32</v>
      </c>
      <c r="B46" s="2">
        <v>3</v>
      </c>
      <c r="C46" s="10" t="s">
        <v>45</v>
      </c>
      <c r="D46" s="10"/>
    </row>
    <row r="47" spans="1:4" x14ac:dyDescent="0.25">
      <c r="A47" s="1" t="s">
        <v>30</v>
      </c>
      <c r="B47" s="2">
        <v>7</v>
      </c>
      <c r="C47" s="10" t="s">
        <v>46</v>
      </c>
      <c r="D47" s="10"/>
    </row>
    <row r="48" spans="1:4" ht="27" x14ac:dyDescent="0.25">
      <c r="A48" s="1" t="s">
        <v>29</v>
      </c>
      <c r="B48" s="2">
        <v>1</v>
      </c>
      <c r="C48" s="10" t="s">
        <v>47</v>
      </c>
      <c r="D48" s="10" t="s">
        <v>42</v>
      </c>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6" t="s">
        <v>51</v>
      </c>
      <c r="D55" s="13"/>
    </row>
    <row r="56" spans="1:4" ht="15" thickBot="1" x14ac:dyDescent="0.35">
      <c r="A56" s="14"/>
      <c r="B56" s="14"/>
      <c r="C56" s="14"/>
      <c r="D56" s="14"/>
    </row>
    <row r="57" spans="1:4" ht="18.75" thickBot="1" x14ac:dyDescent="0.3">
      <c r="A57" s="6" t="s">
        <v>14</v>
      </c>
      <c r="B57" s="7">
        <v>5</v>
      </c>
      <c r="C57" s="17"/>
      <c r="D57" s="89">
        <f>SUM(D43+7)</f>
        <v>45560</v>
      </c>
    </row>
    <row r="58" spans="1:4" ht="27.75" thickBot="1" x14ac:dyDescent="0.3">
      <c r="A58" s="8" t="s">
        <v>3</v>
      </c>
      <c r="B58" s="18" t="s">
        <v>15</v>
      </c>
      <c r="C58" s="8" t="s">
        <v>7</v>
      </c>
      <c r="D58" s="8" t="s">
        <v>13</v>
      </c>
    </row>
    <row r="59" spans="1:4" x14ac:dyDescent="0.25">
      <c r="A59" s="5" t="s">
        <v>31</v>
      </c>
      <c r="B59" s="4">
        <v>6</v>
      </c>
      <c r="C59" s="9" t="s">
        <v>54</v>
      </c>
      <c r="D59" s="9"/>
    </row>
    <row r="60" spans="1:4" x14ac:dyDescent="0.25">
      <c r="A60" s="1" t="s">
        <v>30</v>
      </c>
      <c r="B60" s="2">
        <v>2</v>
      </c>
      <c r="C60" s="10" t="s">
        <v>55</v>
      </c>
      <c r="D60" s="10"/>
    </row>
    <row r="61" spans="1:4" x14ac:dyDescent="0.25">
      <c r="A61" s="1" t="s">
        <v>49</v>
      </c>
      <c r="B61" s="2">
        <v>3</v>
      </c>
      <c r="C61" s="10" t="s">
        <v>56</v>
      </c>
      <c r="D61" s="10"/>
    </row>
    <row r="62" spans="1:4" ht="27" x14ac:dyDescent="0.25">
      <c r="A62" s="1" t="s">
        <v>29</v>
      </c>
      <c r="B62" s="2">
        <v>1</v>
      </c>
      <c r="C62" s="10" t="s">
        <v>47</v>
      </c>
      <c r="D62" s="10" t="s">
        <v>42</v>
      </c>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6" t="s">
        <v>51</v>
      </c>
      <c r="D69" s="13"/>
    </row>
    <row r="70" spans="1:4" ht="15" thickBot="1" x14ac:dyDescent="0.35">
      <c r="A70" s="14"/>
      <c r="B70" s="14"/>
      <c r="C70" s="14"/>
      <c r="D70" s="14"/>
    </row>
    <row r="71" spans="1:4" ht="18.75" thickBot="1" x14ac:dyDescent="0.3">
      <c r="A71" s="6" t="s">
        <v>14</v>
      </c>
      <c r="B71" s="7">
        <v>6</v>
      </c>
      <c r="C71" s="17"/>
      <c r="D71" s="89">
        <f>SUM(D57+7)</f>
        <v>45567</v>
      </c>
    </row>
    <row r="72" spans="1:4" ht="27.75" thickBot="1" x14ac:dyDescent="0.3">
      <c r="A72" s="8" t="s">
        <v>3</v>
      </c>
      <c r="B72" s="18" t="s">
        <v>15</v>
      </c>
      <c r="C72" s="8" t="s">
        <v>7</v>
      </c>
      <c r="D72" s="8" t="s">
        <v>13</v>
      </c>
    </row>
    <row r="73" spans="1:4" x14ac:dyDescent="0.25">
      <c r="A73" s="5" t="s">
        <v>30</v>
      </c>
      <c r="B73" s="4">
        <v>8</v>
      </c>
      <c r="C73" s="9" t="s">
        <v>58</v>
      </c>
      <c r="D73" s="9"/>
    </row>
    <row r="74" spans="1:4" x14ac:dyDescent="0.25">
      <c r="A74" s="1" t="s">
        <v>32</v>
      </c>
      <c r="B74" s="2">
        <v>3</v>
      </c>
      <c r="C74" s="10" t="s">
        <v>59</v>
      </c>
      <c r="D74" s="10"/>
    </row>
    <row r="75" spans="1:4" ht="27" x14ac:dyDescent="0.25">
      <c r="A75" s="1" t="s">
        <v>29</v>
      </c>
      <c r="B75" s="2">
        <v>1</v>
      </c>
      <c r="C75" s="10" t="s">
        <v>47</v>
      </c>
      <c r="D75" s="10" t="s">
        <v>42</v>
      </c>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6" t="s">
        <v>51</v>
      </c>
      <c r="D83" s="13"/>
    </row>
    <row r="84" spans="1:4" ht="15" thickBot="1" x14ac:dyDescent="0.35">
      <c r="A84" s="14"/>
      <c r="B84" s="14"/>
      <c r="C84" s="14"/>
      <c r="D84" s="14"/>
    </row>
    <row r="85" spans="1:4" ht="18.75" thickBot="1" x14ac:dyDescent="0.3">
      <c r="A85" s="6" t="s">
        <v>14</v>
      </c>
      <c r="B85" s="7">
        <v>7</v>
      </c>
      <c r="C85" s="17"/>
      <c r="D85" s="89">
        <f>SUM(D71+7)</f>
        <v>45574</v>
      </c>
    </row>
    <row r="86" spans="1:4" ht="27.75" thickBot="1" x14ac:dyDescent="0.3">
      <c r="A86" s="8" t="s">
        <v>3</v>
      </c>
      <c r="B86" s="18" t="s">
        <v>15</v>
      </c>
      <c r="C86" s="8" t="s">
        <v>7</v>
      </c>
      <c r="D86" s="8" t="s">
        <v>13</v>
      </c>
    </row>
    <row r="87" spans="1:4" x14ac:dyDescent="0.25">
      <c r="A87" s="5" t="s">
        <v>49</v>
      </c>
      <c r="B87" s="4">
        <v>2</v>
      </c>
      <c r="C87" s="9" t="s">
        <v>60</v>
      </c>
      <c r="D87" s="9"/>
    </row>
    <row r="88" spans="1:4" x14ac:dyDescent="0.25">
      <c r="A88" s="1" t="s">
        <v>44</v>
      </c>
      <c r="B88" s="2">
        <v>1</v>
      </c>
      <c r="C88" s="10" t="s">
        <v>48</v>
      </c>
      <c r="D88" s="10"/>
    </row>
    <row r="89" spans="1:4" ht="27" x14ac:dyDescent="0.25">
      <c r="A89" s="1" t="s">
        <v>30</v>
      </c>
      <c r="B89" s="2">
        <v>7</v>
      </c>
      <c r="C89" s="10" t="s">
        <v>61</v>
      </c>
      <c r="D89" s="10"/>
    </row>
    <row r="90" spans="1:4" x14ac:dyDescent="0.25">
      <c r="A90" s="1" t="s">
        <v>32</v>
      </c>
      <c r="B90" s="2">
        <v>1</v>
      </c>
      <c r="C90" s="10" t="s">
        <v>59</v>
      </c>
      <c r="D90" s="10"/>
    </row>
    <row r="91" spans="1:4" ht="27" x14ac:dyDescent="0.25">
      <c r="A91" s="1" t="s">
        <v>29</v>
      </c>
      <c r="B91" s="2">
        <v>1</v>
      </c>
      <c r="C91" s="10" t="s">
        <v>47</v>
      </c>
      <c r="D91" s="10" t="s">
        <v>42</v>
      </c>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6" t="s">
        <v>51</v>
      </c>
      <c r="D97" s="13"/>
    </row>
    <row r="98" spans="1:4" ht="15" thickBot="1" x14ac:dyDescent="0.35">
      <c r="A98" s="14"/>
      <c r="B98" s="14"/>
      <c r="C98" s="14"/>
      <c r="D98" s="14"/>
    </row>
    <row r="99" spans="1:4" ht="18.75" thickBot="1" x14ac:dyDescent="0.3">
      <c r="A99" s="6" t="s">
        <v>14</v>
      </c>
      <c r="B99" s="7">
        <v>8</v>
      </c>
      <c r="C99" s="17"/>
      <c r="D99" s="89">
        <f>SUM(D85+7)</f>
        <v>45581</v>
      </c>
    </row>
    <row r="100" spans="1:4" ht="27.75" thickBot="1" x14ac:dyDescent="0.3">
      <c r="A100" s="8" t="s">
        <v>3</v>
      </c>
      <c r="B100" s="18" t="s">
        <v>15</v>
      </c>
      <c r="C100" s="8" t="s">
        <v>7</v>
      </c>
      <c r="D100" s="8" t="s">
        <v>13</v>
      </c>
    </row>
    <row r="101" spans="1:4" x14ac:dyDescent="0.25">
      <c r="A101" s="5" t="s">
        <v>21</v>
      </c>
      <c r="B101" s="4">
        <v>12</v>
      </c>
      <c r="C101" s="9" t="s">
        <v>50</v>
      </c>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6" t="s">
        <v>51</v>
      </c>
      <c r="D111" s="13"/>
    </row>
    <row r="112" spans="1:4" ht="15" thickBot="1" x14ac:dyDescent="0.35">
      <c r="A112" s="14"/>
      <c r="B112" s="14"/>
      <c r="C112" s="14"/>
      <c r="D112" s="14"/>
    </row>
    <row r="113" spans="1:4" ht="18.75" thickBot="1" x14ac:dyDescent="0.3">
      <c r="A113" s="6" t="s">
        <v>14</v>
      </c>
      <c r="B113" s="7">
        <v>9</v>
      </c>
      <c r="C113" s="17"/>
      <c r="D113" s="89">
        <f>SUM(D99+7)</f>
        <v>45588</v>
      </c>
    </row>
    <row r="114" spans="1:4" ht="27.75" thickBot="1" x14ac:dyDescent="0.3">
      <c r="A114" s="8" t="s">
        <v>3</v>
      </c>
      <c r="B114" s="18" t="s">
        <v>15</v>
      </c>
      <c r="C114" s="8" t="s">
        <v>7</v>
      </c>
      <c r="D114" s="8" t="s">
        <v>13</v>
      </c>
    </row>
    <row r="115" spans="1:4" x14ac:dyDescent="0.25">
      <c r="A115" s="5" t="s">
        <v>21</v>
      </c>
      <c r="B115" s="4">
        <v>12</v>
      </c>
      <c r="C115" s="9" t="s">
        <v>50</v>
      </c>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c r="B124" s="3"/>
      <c r="C124" s="11"/>
      <c r="D124" s="11"/>
    </row>
    <row r="125" spans="1:4" ht="14.25" thickBot="1" x14ac:dyDescent="0.3">
      <c r="A125" s="12" t="s">
        <v>22</v>
      </c>
      <c r="B125" s="12">
        <f>SUM(B115:B124)</f>
        <v>12</v>
      </c>
      <c r="C125" s="86" t="s">
        <v>51</v>
      </c>
      <c r="D125" s="13"/>
    </row>
    <row r="126" spans="1:4" ht="15" thickBot="1" x14ac:dyDescent="0.35">
      <c r="A126" s="14"/>
      <c r="B126" s="14"/>
      <c r="C126" s="14"/>
      <c r="D126" s="14"/>
    </row>
    <row r="127" spans="1:4" ht="18.75" thickBot="1" x14ac:dyDescent="0.3">
      <c r="A127" s="6" t="s">
        <v>14</v>
      </c>
      <c r="B127" s="7">
        <v>10</v>
      </c>
      <c r="C127" s="17"/>
      <c r="D127" s="89">
        <f>SUM(D113+7)</f>
        <v>45595</v>
      </c>
    </row>
    <row r="128" spans="1:4" ht="27.75" thickBot="1" x14ac:dyDescent="0.3">
      <c r="A128" s="8" t="s">
        <v>3</v>
      </c>
      <c r="B128" s="18" t="s">
        <v>15</v>
      </c>
      <c r="C128" s="8" t="s">
        <v>7</v>
      </c>
      <c r="D128" s="8" t="s">
        <v>13</v>
      </c>
    </row>
    <row r="129" spans="1:4" x14ac:dyDescent="0.25">
      <c r="A129" s="5" t="s">
        <v>30</v>
      </c>
      <c r="B129" s="4">
        <v>2</v>
      </c>
      <c r="C129" s="9" t="s">
        <v>62</v>
      </c>
      <c r="D129" s="9"/>
    </row>
    <row r="130" spans="1:4" x14ac:dyDescent="0.25">
      <c r="A130" s="1" t="s">
        <v>32</v>
      </c>
      <c r="B130" s="2">
        <v>2</v>
      </c>
      <c r="C130" s="10" t="s">
        <v>63</v>
      </c>
      <c r="D130" s="10"/>
    </row>
    <row r="131" spans="1:4" x14ac:dyDescent="0.25">
      <c r="A131" s="1" t="s">
        <v>31</v>
      </c>
      <c r="B131" s="2">
        <v>1</v>
      </c>
      <c r="C131" s="10" t="s">
        <v>64</v>
      </c>
      <c r="D131" s="10"/>
    </row>
    <row r="132" spans="1:4" x14ac:dyDescent="0.25">
      <c r="A132" s="1" t="s">
        <v>49</v>
      </c>
      <c r="B132" s="2">
        <v>6</v>
      </c>
      <c r="C132" s="10" t="s">
        <v>65</v>
      </c>
      <c r="D132" s="10"/>
    </row>
    <row r="133" spans="1:4" ht="27" x14ac:dyDescent="0.25">
      <c r="A133" s="1" t="s">
        <v>29</v>
      </c>
      <c r="B133" s="2">
        <v>1</v>
      </c>
      <c r="C133" s="10" t="s">
        <v>66</v>
      </c>
      <c r="D133" s="10" t="s">
        <v>42</v>
      </c>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c r="B138" s="3"/>
      <c r="C138" s="11"/>
      <c r="D138" s="11"/>
    </row>
    <row r="139" spans="1:4" ht="14.25" thickBot="1" x14ac:dyDescent="0.3">
      <c r="A139" s="12" t="s">
        <v>22</v>
      </c>
      <c r="B139" s="12">
        <f>SUM(B129:B138)</f>
        <v>12</v>
      </c>
      <c r="C139" s="86" t="s">
        <v>51</v>
      </c>
      <c r="D139" s="13"/>
    </row>
    <row r="140" spans="1:4" ht="14.25" x14ac:dyDescent="0.3">
      <c r="A140" s="14"/>
      <c r="B140" s="14"/>
      <c r="C140" s="14"/>
      <c r="D140" s="14"/>
    </row>
    <row r="141" spans="1:4" x14ac:dyDescent="0.25">
      <c r="A141" s="87" t="s">
        <v>35</v>
      </c>
    </row>
  </sheetData>
  <sheetProtection sheet="1" objects="1" scenarios="1" insertRows="0" selectLockedCells="1"/>
  <dataValidations count="4">
    <dataValidation type="list" allowBlank="1" showInputMessage="1" showErrorMessage="1" sqref="A3:A12 A17:A26 A31:A40 A45:A54 A59:A68 A73:A82 A87:A96 A101:A110 A115:A124 A129:A138" xr:uid="{DC298BF9-7902-474E-A09A-5362B983140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xr:uid="{D29E792F-5406-4891-8DE2-B59A8D51CD2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xr:uid="{09C7D1D9-0FDE-418B-9C28-D55882C1163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E6AE9FC3-114D-457F-905F-4A9B0C49C6DE}">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50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79848-10F3-468E-A948-8528A43E347D}">
  <sheetPr codeName="Feuil9"/>
  <dimension ref="A1:H191"/>
  <sheetViews>
    <sheetView tabSelected="1" topLeftCell="A177" zoomScale="115" zoomScaleNormal="115" workbookViewId="0">
      <selection activeCell="C187" sqref="C187"/>
    </sheetView>
  </sheetViews>
  <sheetFormatPr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f>Donnees!$C$9</f>
        <v>45532</v>
      </c>
    </row>
    <row r="2" spans="1:4" ht="27.75" thickBot="1" x14ac:dyDescent="0.3">
      <c r="A2" s="45" t="s">
        <v>3</v>
      </c>
      <c r="B2" s="46" t="s">
        <v>15</v>
      </c>
      <c r="C2" s="45" t="s">
        <v>7</v>
      </c>
      <c r="D2" s="45" t="s">
        <v>13</v>
      </c>
    </row>
    <row r="3" spans="1:4" s="52" customFormat="1" ht="27" x14ac:dyDescent="0.25">
      <c r="A3" s="5" t="s">
        <v>28</v>
      </c>
      <c r="B3" s="4">
        <v>3</v>
      </c>
      <c r="C3" s="9" t="s">
        <v>36</v>
      </c>
      <c r="D3" s="9" t="s">
        <v>37</v>
      </c>
    </row>
    <row r="4" spans="1:4" s="52" customFormat="1" ht="27" x14ac:dyDescent="0.25">
      <c r="A4" s="1" t="s">
        <v>28</v>
      </c>
      <c r="B4" s="2">
        <v>5</v>
      </c>
      <c r="C4" s="10" t="s">
        <v>57</v>
      </c>
      <c r="D4" s="10"/>
    </row>
    <row r="5" spans="1:4" s="52" customFormat="1" ht="27" x14ac:dyDescent="0.25">
      <c r="A5" s="1" t="s">
        <v>28</v>
      </c>
      <c r="B5" s="2">
        <v>1</v>
      </c>
      <c r="C5" s="90" t="s">
        <v>67</v>
      </c>
      <c r="D5" s="10"/>
    </row>
    <row r="6" spans="1:4" s="52" customFormat="1" x14ac:dyDescent="0.25">
      <c r="A6" s="1" t="s">
        <v>34</v>
      </c>
      <c r="B6" s="2">
        <v>2</v>
      </c>
      <c r="C6" s="90" t="s">
        <v>68</v>
      </c>
      <c r="D6" s="10"/>
    </row>
    <row r="7" spans="1:4" s="52" customFormat="1" ht="27" x14ac:dyDescent="0.25">
      <c r="A7" s="1" t="s">
        <v>29</v>
      </c>
      <c r="B7" s="2">
        <v>1</v>
      </c>
      <c r="C7" s="10" t="s">
        <v>47</v>
      </c>
      <c r="D7" s="10" t="s">
        <v>42</v>
      </c>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12</v>
      </c>
      <c r="C18" s="88" t="s">
        <v>51</v>
      </c>
      <c r="D18" s="48"/>
    </row>
    <row r="19" spans="1:8" ht="15" thickBot="1" x14ac:dyDescent="0.35">
      <c r="A19" s="49"/>
      <c r="B19" s="49"/>
      <c r="C19" s="49"/>
      <c r="D19" s="49"/>
    </row>
    <row r="20" spans="1:8" ht="18.75" thickBot="1" x14ac:dyDescent="0.3">
      <c r="A20" s="42" t="s">
        <v>14</v>
      </c>
      <c r="B20" s="43">
        <v>2</v>
      </c>
      <c r="C20" s="44" t="s">
        <v>23</v>
      </c>
      <c r="D20" s="53">
        <f>$D$1+7</f>
        <v>45539</v>
      </c>
    </row>
    <row r="21" spans="1:8" ht="27.75" thickBot="1" x14ac:dyDescent="0.3">
      <c r="A21" s="45" t="s">
        <v>3</v>
      </c>
      <c r="B21" s="46" t="s">
        <v>15</v>
      </c>
      <c r="C21" s="45" t="s">
        <v>7</v>
      </c>
      <c r="D21" s="45" t="s">
        <v>13</v>
      </c>
    </row>
    <row r="22" spans="1:8" x14ac:dyDescent="0.25">
      <c r="A22" s="5" t="s">
        <v>21</v>
      </c>
      <c r="B22" s="4">
        <v>12</v>
      </c>
      <c r="C22" s="91" t="s">
        <v>69</v>
      </c>
      <c r="D22" s="9"/>
    </row>
    <row r="23" spans="1:8" x14ac:dyDescent="0.25">
      <c r="A23" s="1"/>
      <c r="B23" s="2"/>
      <c r="C23" s="10"/>
      <c r="D23" s="10"/>
    </row>
    <row r="24" spans="1:8" x14ac:dyDescent="0.25">
      <c r="A24" s="1"/>
      <c r="B24" s="2"/>
      <c r="C24" s="10"/>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22</v>
      </c>
      <c r="B37" s="47">
        <f>SUM(B22:B36)</f>
        <v>12</v>
      </c>
      <c r="C37" s="88" t="s">
        <v>51</v>
      </c>
      <c r="D37" s="48"/>
    </row>
    <row r="38" spans="1:8" ht="15" thickBot="1" x14ac:dyDescent="0.35">
      <c r="A38" s="49"/>
      <c r="B38" s="49"/>
      <c r="C38" s="49"/>
      <c r="D38" s="49"/>
    </row>
    <row r="39" spans="1:8" ht="18.75" thickBot="1" x14ac:dyDescent="0.3">
      <c r="A39" s="42" t="s">
        <v>14</v>
      </c>
      <c r="B39" s="43">
        <v>3</v>
      </c>
      <c r="C39" s="44" t="s">
        <v>23</v>
      </c>
      <c r="D39" s="53">
        <f>$D$20+7</f>
        <v>45546</v>
      </c>
    </row>
    <row r="40" spans="1:8" ht="27.75" thickBot="1" x14ac:dyDescent="0.3">
      <c r="A40" s="45" t="s">
        <v>3</v>
      </c>
      <c r="B40" s="46" t="s">
        <v>15</v>
      </c>
      <c r="C40" s="45" t="s">
        <v>7</v>
      </c>
      <c r="D40" s="45" t="s">
        <v>13</v>
      </c>
    </row>
    <row r="41" spans="1:8" x14ac:dyDescent="0.25">
      <c r="A41" s="5" t="s">
        <v>21</v>
      </c>
      <c r="B41" s="4">
        <v>12</v>
      </c>
      <c r="C41" s="91" t="s">
        <v>69</v>
      </c>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22</v>
      </c>
      <c r="B56" s="47">
        <f>SUM(B41:B55)</f>
        <v>12</v>
      </c>
      <c r="C56" s="88" t="s">
        <v>51</v>
      </c>
      <c r="D56" s="48"/>
    </row>
    <row r="57" spans="1:4" ht="15" thickBot="1" x14ac:dyDescent="0.35">
      <c r="A57" s="49"/>
      <c r="B57" s="49"/>
      <c r="C57" s="49"/>
      <c r="D57" s="49"/>
    </row>
    <row r="58" spans="1:4" ht="18.75" thickBot="1" x14ac:dyDescent="0.3">
      <c r="A58" s="42" t="s">
        <v>14</v>
      </c>
      <c r="B58" s="43">
        <v>4</v>
      </c>
      <c r="C58" s="44" t="s">
        <v>23</v>
      </c>
      <c r="D58" s="53">
        <f>$D$39+7</f>
        <v>45553</v>
      </c>
    </row>
    <row r="59" spans="1:4" ht="27.75" thickBot="1" x14ac:dyDescent="0.3">
      <c r="A59" s="45" t="s">
        <v>3</v>
      </c>
      <c r="B59" s="46" t="s">
        <v>15</v>
      </c>
      <c r="C59" s="45" t="s">
        <v>7</v>
      </c>
      <c r="D59" s="45" t="s">
        <v>13</v>
      </c>
    </row>
    <row r="60" spans="1:4" ht="27" x14ac:dyDescent="0.25">
      <c r="A60" s="5" t="s">
        <v>30</v>
      </c>
      <c r="B60" s="4">
        <v>4</v>
      </c>
      <c r="C60" s="91" t="s">
        <v>70</v>
      </c>
      <c r="D60" s="9"/>
    </row>
    <row r="61" spans="1:4" x14ac:dyDescent="0.25">
      <c r="A61" s="1" t="s">
        <v>30</v>
      </c>
      <c r="B61" s="2">
        <v>3</v>
      </c>
      <c r="C61" s="90" t="s">
        <v>71</v>
      </c>
      <c r="D61" s="10"/>
    </row>
    <row r="62" spans="1:4" ht="27" x14ac:dyDescent="0.25">
      <c r="A62" s="1" t="s">
        <v>30</v>
      </c>
      <c r="B62" s="2">
        <v>1</v>
      </c>
      <c r="C62" s="90" t="s">
        <v>72</v>
      </c>
      <c r="D62" s="10"/>
    </row>
    <row r="63" spans="1:4" x14ac:dyDescent="0.25">
      <c r="A63" s="1" t="s">
        <v>30</v>
      </c>
      <c r="B63" s="2">
        <v>3</v>
      </c>
      <c r="C63" s="90" t="s">
        <v>73</v>
      </c>
      <c r="D63" s="10"/>
    </row>
    <row r="64" spans="1:4" ht="27" x14ac:dyDescent="0.25">
      <c r="A64" s="1" t="s">
        <v>29</v>
      </c>
      <c r="B64" s="2">
        <v>1</v>
      </c>
      <c r="C64" s="10" t="s">
        <v>47</v>
      </c>
      <c r="D64" s="10" t="s">
        <v>42</v>
      </c>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22</v>
      </c>
      <c r="B75" s="47">
        <f>SUM(B60:B74)</f>
        <v>12</v>
      </c>
      <c r="C75" s="88" t="s">
        <v>51</v>
      </c>
      <c r="D75" s="48"/>
    </row>
    <row r="76" spans="1:4" ht="15" thickBot="1" x14ac:dyDescent="0.35">
      <c r="A76" s="49"/>
      <c r="B76" s="49"/>
      <c r="C76" s="49"/>
      <c r="D76" s="49"/>
    </row>
    <row r="77" spans="1:4" ht="18.75" thickBot="1" x14ac:dyDescent="0.3">
      <c r="A77" s="42" t="s">
        <v>14</v>
      </c>
      <c r="B77" s="43">
        <v>5</v>
      </c>
      <c r="C77" s="44" t="s">
        <v>23</v>
      </c>
      <c r="D77" s="53">
        <f>$D$58+7</f>
        <v>45560</v>
      </c>
    </row>
    <row r="78" spans="1:4" ht="27.75" thickBot="1" x14ac:dyDescent="0.3">
      <c r="A78" s="45" t="s">
        <v>3</v>
      </c>
      <c r="B78" s="46" t="s">
        <v>15</v>
      </c>
      <c r="C78" s="45" t="s">
        <v>7</v>
      </c>
      <c r="D78" s="45" t="s">
        <v>13</v>
      </c>
    </row>
    <row r="79" spans="1:4" ht="27" x14ac:dyDescent="0.25">
      <c r="A79" s="5" t="s">
        <v>30</v>
      </c>
      <c r="B79" s="4">
        <v>8</v>
      </c>
      <c r="C79" s="91" t="s">
        <v>74</v>
      </c>
      <c r="D79" s="9"/>
    </row>
    <row r="80" spans="1:4" x14ac:dyDescent="0.25">
      <c r="A80" s="1" t="s">
        <v>30</v>
      </c>
      <c r="B80" s="2">
        <v>3</v>
      </c>
      <c r="C80" s="90" t="s">
        <v>75</v>
      </c>
      <c r="D80" s="10"/>
    </row>
    <row r="81" spans="1:4" ht="27" x14ac:dyDescent="0.25">
      <c r="A81" s="1" t="s">
        <v>29</v>
      </c>
      <c r="B81" s="2">
        <v>1</v>
      </c>
      <c r="C81" s="10" t="s">
        <v>47</v>
      </c>
      <c r="D81" s="10" t="s">
        <v>42</v>
      </c>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22</v>
      </c>
      <c r="B94" s="47">
        <f>SUM(B79:B93)</f>
        <v>12</v>
      </c>
      <c r="C94" s="88" t="s">
        <v>51</v>
      </c>
      <c r="D94" s="48"/>
    </row>
    <row r="95" spans="1:4" ht="15" thickBot="1" x14ac:dyDescent="0.35">
      <c r="A95" s="49"/>
      <c r="B95" s="49"/>
      <c r="C95" s="49"/>
      <c r="D95" s="49"/>
    </row>
    <row r="96" spans="1:4" ht="18.75" thickBot="1" x14ac:dyDescent="0.3">
      <c r="A96" s="42" t="s">
        <v>14</v>
      </c>
      <c r="B96" s="43">
        <v>6</v>
      </c>
      <c r="C96" s="44" t="s">
        <v>23</v>
      </c>
      <c r="D96" s="53">
        <f>$D$77+7</f>
        <v>45567</v>
      </c>
    </row>
    <row r="97" spans="1:4" ht="27.75" thickBot="1" x14ac:dyDescent="0.3">
      <c r="A97" s="45" t="s">
        <v>3</v>
      </c>
      <c r="B97" s="46" t="s">
        <v>15</v>
      </c>
      <c r="C97" s="45" t="s">
        <v>7</v>
      </c>
      <c r="D97" s="45" t="s">
        <v>13</v>
      </c>
    </row>
    <row r="98" spans="1:4" ht="27" x14ac:dyDescent="0.25">
      <c r="A98" s="5" t="s">
        <v>30</v>
      </c>
      <c r="B98" s="4">
        <v>2</v>
      </c>
      <c r="C98" s="91" t="s">
        <v>76</v>
      </c>
      <c r="D98" s="9"/>
    </row>
    <row r="99" spans="1:4" ht="27" x14ac:dyDescent="0.25">
      <c r="A99" s="1" t="s">
        <v>30</v>
      </c>
      <c r="B99" s="2">
        <v>2</v>
      </c>
      <c r="C99" s="90" t="s">
        <v>77</v>
      </c>
      <c r="D99" s="10"/>
    </row>
    <row r="100" spans="1:4" ht="27" x14ac:dyDescent="0.25">
      <c r="A100" s="1" t="s">
        <v>30</v>
      </c>
      <c r="B100" s="2">
        <v>7</v>
      </c>
      <c r="C100" s="90" t="s">
        <v>78</v>
      </c>
      <c r="D100" s="10"/>
    </row>
    <row r="101" spans="1:4" ht="27" x14ac:dyDescent="0.25">
      <c r="A101" s="1" t="s">
        <v>29</v>
      </c>
      <c r="B101" s="2">
        <v>1</v>
      </c>
      <c r="C101" s="10" t="s">
        <v>47</v>
      </c>
      <c r="D101" s="10" t="s">
        <v>42</v>
      </c>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22</v>
      </c>
      <c r="B113" s="47">
        <f>SUM(B98:B112)</f>
        <v>12</v>
      </c>
      <c r="C113" s="88" t="s">
        <v>51</v>
      </c>
      <c r="D113" s="48"/>
    </row>
    <row r="114" spans="1:4" ht="15" thickBot="1" x14ac:dyDescent="0.35">
      <c r="A114" s="49"/>
      <c r="B114" s="49"/>
      <c r="C114" s="49"/>
      <c r="D114" s="49"/>
    </row>
    <row r="115" spans="1:4" ht="18.75" thickBot="1" x14ac:dyDescent="0.3">
      <c r="A115" s="42" t="s">
        <v>14</v>
      </c>
      <c r="B115" s="43">
        <v>7</v>
      </c>
      <c r="C115" s="44" t="s">
        <v>23</v>
      </c>
      <c r="D115" s="53">
        <f>$D$96+7</f>
        <v>45574</v>
      </c>
    </row>
    <row r="116" spans="1:4" ht="27.75" thickBot="1" x14ac:dyDescent="0.3">
      <c r="A116" s="45" t="s">
        <v>3</v>
      </c>
      <c r="B116" s="46" t="s">
        <v>15</v>
      </c>
      <c r="C116" s="45" t="s">
        <v>7</v>
      </c>
      <c r="D116" s="45" t="s">
        <v>13</v>
      </c>
    </row>
    <row r="117" spans="1:4" ht="40.5" x14ac:dyDescent="0.25">
      <c r="A117" s="5" t="s">
        <v>30</v>
      </c>
      <c r="B117" s="4">
        <v>3</v>
      </c>
      <c r="C117" s="91" t="s">
        <v>80</v>
      </c>
      <c r="D117" s="9"/>
    </row>
    <row r="118" spans="1:4" ht="27" x14ac:dyDescent="0.25">
      <c r="A118" s="93" t="s">
        <v>30</v>
      </c>
      <c r="B118" s="2">
        <v>8</v>
      </c>
      <c r="C118" s="90" t="s">
        <v>81</v>
      </c>
      <c r="D118" s="10"/>
    </row>
    <row r="119" spans="1:4" ht="27" x14ac:dyDescent="0.25">
      <c r="A119" s="1" t="s">
        <v>29</v>
      </c>
      <c r="B119" s="2">
        <v>1</v>
      </c>
      <c r="C119" s="10" t="s">
        <v>47</v>
      </c>
      <c r="D119" s="10" t="s">
        <v>42</v>
      </c>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22</v>
      </c>
      <c r="B132" s="47">
        <f>SUM(B117:B131)</f>
        <v>12</v>
      </c>
      <c r="C132" s="88" t="s">
        <v>51</v>
      </c>
      <c r="D132" s="48"/>
    </row>
    <row r="133" spans="1:4" ht="15" thickBot="1" x14ac:dyDescent="0.35">
      <c r="A133" s="49"/>
      <c r="B133" s="49"/>
      <c r="C133" s="49"/>
      <c r="D133" s="49"/>
    </row>
    <row r="134" spans="1:4" ht="18.75" thickBot="1" x14ac:dyDescent="0.3">
      <c r="A134" s="42" t="s">
        <v>14</v>
      </c>
      <c r="B134" s="43">
        <v>8</v>
      </c>
      <c r="C134" s="44" t="s">
        <v>23</v>
      </c>
      <c r="D134" s="53">
        <f>$D$115+7</f>
        <v>45581</v>
      </c>
    </row>
    <row r="135" spans="1:4" ht="27.75" thickBot="1" x14ac:dyDescent="0.3">
      <c r="A135" s="45" t="s">
        <v>3</v>
      </c>
      <c r="B135" s="46" t="s">
        <v>15</v>
      </c>
      <c r="C135" s="45" t="s">
        <v>7</v>
      </c>
      <c r="D135" s="45" t="s">
        <v>13</v>
      </c>
    </row>
    <row r="136" spans="1:4" x14ac:dyDescent="0.25">
      <c r="A136" s="92" t="s">
        <v>21</v>
      </c>
      <c r="B136" s="4">
        <v>12</v>
      </c>
      <c r="C136" s="91" t="s">
        <v>79</v>
      </c>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22</v>
      </c>
      <c r="B151" s="47">
        <f>SUM(B136:B150)</f>
        <v>12</v>
      </c>
      <c r="C151" s="88" t="s">
        <v>51</v>
      </c>
      <c r="D151" s="48"/>
    </row>
    <row r="152" spans="1:4" ht="15" thickBot="1" x14ac:dyDescent="0.35">
      <c r="A152" s="49"/>
      <c r="B152" s="49"/>
      <c r="C152" s="49"/>
      <c r="D152" s="49"/>
    </row>
    <row r="153" spans="1:4" ht="18.75" thickBot="1" x14ac:dyDescent="0.3">
      <c r="A153" s="42" t="s">
        <v>14</v>
      </c>
      <c r="B153" s="43">
        <v>9</v>
      </c>
      <c r="C153" s="44" t="s">
        <v>23</v>
      </c>
      <c r="D153" s="53">
        <f>$D$134+7</f>
        <v>45588</v>
      </c>
    </row>
    <row r="154" spans="1:4" ht="27.75" thickBot="1" x14ac:dyDescent="0.3">
      <c r="A154" s="45" t="s">
        <v>3</v>
      </c>
      <c r="B154" s="46" t="s">
        <v>15</v>
      </c>
      <c r="C154" s="45" t="s">
        <v>7</v>
      </c>
      <c r="D154" s="45" t="s">
        <v>13</v>
      </c>
    </row>
    <row r="155" spans="1:4" x14ac:dyDescent="0.25">
      <c r="A155" s="92" t="s">
        <v>21</v>
      </c>
      <c r="B155" s="4">
        <v>12</v>
      </c>
      <c r="C155" s="91" t="s">
        <v>79</v>
      </c>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4.25" thickBot="1" x14ac:dyDescent="0.3">
      <c r="A169" s="3"/>
      <c r="B169" s="3"/>
      <c r="C169" s="11"/>
      <c r="D169" s="11"/>
    </row>
    <row r="170" spans="1:4" ht="14.25" thickBot="1" x14ac:dyDescent="0.3">
      <c r="A170" s="47" t="s">
        <v>22</v>
      </c>
      <c r="B170" s="47">
        <f>SUM(B155:B169)</f>
        <v>12</v>
      </c>
      <c r="C170" s="88" t="s">
        <v>51</v>
      </c>
      <c r="D170" s="48"/>
    </row>
    <row r="171" spans="1:4" ht="15" thickBot="1" x14ac:dyDescent="0.35">
      <c r="A171" s="49"/>
      <c r="B171" s="49"/>
      <c r="C171" s="49"/>
      <c r="D171" s="49"/>
    </row>
    <row r="172" spans="1:4" ht="18.75" thickBot="1" x14ac:dyDescent="0.3">
      <c r="A172" s="42" t="s">
        <v>14</v>
      </c>
      <c r="B172" s="43">
        <v>10</v>
      </c>
      <c r="C172" s="44" t="s">
        <v>23</v>
      </c>
      <c r="D172" s="53">
        <f>$D$153+7</f>
        <v>45595</v>
      </c>
    </row>
    <row r="173" spans="1:4" ht="27.75" thickBot="1" x14ac:dyDescent="0.3">
      <c r="A173" s="45" t="s">
        <v>3</v>
      </c>
      <c r="B173" s="46" t="s">
        <v>15</v>
      </c>
      <c r="C173" s="45" t="s">
        <v>7</v>
      </c>
      <c r="D173" s="45" t="s">
        <v>13</v>
      </c>
    </row>
    <row r="174" spans="1:4" ht="27" x14ac:dyDescent="0.25">
      <c r="A174" s="92" t="s">
        <v>49</v>
      </c>
      <c r="B174" s="4">
        <v>4</v>
      </c>
      <c r="C174" s="91" t="s">
        <v>82</v>
      </c>
      <c r="D174" s="9"/>
    </row>
    <row r="175" spans="1:4" ht="27" x14ac:dyDescent="0.25">
      <c r="A175" s="1" t="s">
        <v>30</v>
      </c>
      <c r="B175" s="2">
        <v>10</v>
      </c>
      <c r="C175" s="90" t="s">
        <v>83</v>
      </c>
      <c r="D175" s="10"/>
    </row>
    <row r="176" spans="1:4" ht="27" x14ac:dyDescent="0.25">
      <c r="A176" s="1" t="s">
        <v>29</v>
      </c>
      <c r="B176" s="2">
        <v>1</v>
      </c>
      <c r="C176" s="10" t="s">
        <v>47</v>
      </c>
      <c r="D176" s="10" t="s">
        <v>42</v>
      </c>
    </row>
    <row r="177" spans="1:4" x14ac:dyDescent="0.25">
      <c r="A177" s="93" t="s">
        <v>30</v>
      </c>
      <c r="B177" s="2">
        <v>2</v>
      </c>
      <c r="C177" s="90" t="s">
        <v>84</v>
      </c>
      <c r="D177" s="10"/>
    </row>
    <row r="178" spans="1:4" ht="27" x14ac:dyDescent="0.25">
      <c r="A178" s="1" t="s">
        <v>30</v>
      </c>
      <c r="B178" s="2">
        <v>9</v>
      </c>
      <c r="C178" s="98" t="s">
        <v>85</v>
      </c>
      <c r="D178" s="10"/>
    </row>
    <row r="179" spans="1:4" ht="27" x14ac:dyDescent="0.25">
      <c r="A179" s="1" t="s">
        <v>30</v>
      </c>
      <c r="B179" s="2">
        <v>8</v>
      </c>
      <c r="C179" s="98" t="s">
        <v>86</v>
      </c>
      <c r="D179" s="10"/>
    </row>
    <row r="180" spans="1:4" x14ac:dyDescent="0.25">
      <c r="A180" s="1" t="s">
        <v>30</v>
      </c>
      <c r="B180" s="2">
        <v>4</v>
      </c>
      <c r="C180" s="98" t="s">
        <v>88</v>
      </c>
      <c r="D180" s="10"/>
    </row>
    <row r="181" spans="1:4" ht="27" x14ac:dyDescent="0.25">
      <c r="A181" s="1" t="s">
        <v>32</v>
      </c>
      <c r="B181" s="2">
        <v>2</v>
      </c>
      <c r="C181" s="98" t="s">
        <v>87</v>
      </c>
      <c r="D181" s="10"/>
    </row>
    <row r="182" spans="1:4" x14ac:dyDescent="0.25">
      <c r="A182" s="1" t="s">
        <v>30</v>
      </c>
      <c r="B182" s="2">
        <v>1</v>
      </c>
      <c r="C182" s="98" t="s">
        <v>90</v>
      </c>
      <c r="D182" s="10"/>
    </row>
    <row r="183" spans="1:4" x14ac:dyDescent="0.25">
      <c r="A183" s="1" t="s">
        <v>31</v>
      </c>
      <c r="B183" s="2">
        <v>2</v>
      </c>
      <c r="C183" s="98" t="s">
        <v>89</v>
      </c>
      <c r="D183" s="10"/>
    </row>
    <row r="184" spans="1:4" x14ac:dyDescent="0.25">
      <c r="A184" s="2" t="s">
        <v>49</v>
      </c>
      <c r="B184" s="2">
        <v>2</v>
      </c>
      <c r="C184" s="98" t="s">
        <v>91</v>
      </c>
      <c r="D184" s="10"/>
    </row>
    <row r="185" spans="1:4" ht="27" x14ac:dyDescent="0.25">
      <c r="A185" s="2" t="s">
        <v>49</v>
      </c>
      <c r="B185" s="2">
        <v>4</v>
      </c>
      <c r="C185" s="98" t="s">
        <v>92</v>
      </c>
      <c r="D185" s="10"/>
    </row>
    <row r="186" spans="1:4" ht="27" x14ac:dyDescent="0.25">
      <c r="A186" s="1" t="s">
        <v>29</v>
      </c>
      <c r="B186" s="2">
        <v>1</v>
      </c>
      <c r="C186" s="98" t="s">
        <v>93</v>
      </c>
      <c r="D186" s="10" t="s">
        <v>42</v>
      </c>
    </row>
    <row r="187" spans="1:4" x14ac:dyDescent="0.25">
      <c r="A187" s="50"/>
      <c r="B187" s="50"/>
      <c r="C187" s="51"/>
      <c r="D187" s="51"/>
    </row>
    <row r="188" spans="1:4" ht="14.25" thickBot="1" x14ac:dyDescent="0.3">
      <c r="A188" s="3"/>
      <c r="B188" s="3"/>
      <c r="C188" s="11"/>
      <c r="D188" s="11"/>
    </row>
    <row r="189" spans="1:4" ht="14.25" thickBot="1" x14ac:dyDescent="0.3">
      <c r="A189" s="47" t="s">
        <v>22</v>
      </c>
      <c r="B189" s="47">
        <f>SUM(B174:B188)</f>
        <v>50</v>
      </c>
      <c r="C189" s="88" t="s">
        <v>51</v>
      </c>
      <c r="D189" s="48"/>
    </row>
    <row r="190" spans="1:4" ht="14.25" x14ac:dyDescent="0.3">
      <c r="A190" s="49"/>
      <c r="B190" s="49"/>
      <c r="C190" s="49"/>
      <c r="D190" s="49"/>
    </row>
    <row r="191" spans="1:4" x14ac:dyDescent="0.25">
      <c r="A191" s="87" t="s">
        <v>35</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42A13718-E02F-44F2-BE37-5A4561159A58}">
      <formula1>0</formula1>
      <formula2>DureePeriode-1</formula2>
    </dataValidation>
    <dataValidation type="whole" errorStyle="warning" operator="greaterThan" allowBlank="1" showInputMessage="1" showErrorMessage="1" errorTitle="Durée en 1/3 de période" error="Le nombre doit être de type entier" sqref="F27:F34 B117:B131 B22:B36 B3:B17 B41:B55 B98:B112 B60:B74 B79:B93 B136:B150 B155:B169 B174:B188" xr:uid="{2A97E640-C656-4A83-9C24-DA55B648D41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xr:uid="{803BC0AB-AD1B-4F38-8E94-2DA0D503021B}">
      <formula1>0</formula1>
      <formula2>NbPerWeek * NbQuartPer</formula2>
    </dataValidation>
    <dataValidation type="list" allowBlank="1" showInputMessage="1" showErrorMessage="1" sqref="A117:A131 A22:A36 A3:A17 A41:A55 A98:A112 A60:A74 A79:A93 A136:A150 A155:A169 A174:A188" xr:uid="{E082B59B-EE46-417F-8E0E-75358B9DE13C}">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7105"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Donnees</vt:lpstr>
      <vt:lpstr>DiagramHeader</vt:lpstr>
      <vt:lpstr>DiagramFooter</vt:lpstr>
      <vt:lpstr>PlanificationWeek</vt:lpstr>
      <vt:lpstr>achievementWeek</vt:lpstr>
      <vt:lpstr>Planning</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Nima Amir Aram Zarrabi</dc:creator>
  <cp:lastModifiedBy>Nima Amir Aram Zarrabi</cp:lastModifiedBy>
  <cp:lastPrinted>2013-08-29T11:33:15Z</cp:lastPrinted>
  <dcterms:created xsi:type="dcterms:W3CDTF">1996-10-21T11:03:58Z</dcterms:created>
  <dcterms:modified xsi:type="dcterms:W3CDTF">2024-11-03T23:41:05Z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